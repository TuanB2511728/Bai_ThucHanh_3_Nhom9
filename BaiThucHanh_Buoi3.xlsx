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45df5eabd4560b/Desktop/BT/"/>
    </mc:Choice>
  </mc:AlternateContent>
  <xr:revisionPtr revIDLastSave="0" documentId="8_{5FB788AD-11C1-4541-AE3E-B936D16475F6}" xr6:coauthVersionLast="47" xr6:coauthVersionMax="47" xr10:uidLastSave="{00000000-0000-0000-0000-000000000000}"/>
  <bookViews>
    <workbookView xWindow="-98" yWindow="-98" windowWidth="19396" windowHeight="11475" firstSheet="4" activeTab="6" xr2:uid="{157A3559-D44C-414F-8670-77046817E426}"/>
  </bookViews>
  <sheets>
    <sheet name="Tổng hợp điểm" sheetId="9" r:id="rId1"/>
    <sheet name="Sinh viên điểm &lt;7" sheetId="11" r:id="rId2"/>
    <sheet name="Sinh viên có điểm &gt;=7" sheetId="12" r:id="rId3"/>
    <sheet name="Điểm thực hành các buổi" sheetId="2" r:id="rId4"/>
    <sheet name="Điểm bài tập lớn" sheetId="3" r:id="rId5"/>
    <sheet name="Điểm lý thuyết" sheetId="4" r:id="rId6"/>
    <sheet name="Các bảng tham chiếu &amp; Thống kê" sheetId="8" r:id="rId7"/>
  </sheets>
  <definedNames>
    <definedName name="_xlnm._FilterDatabase" localSheetId="0" hidden="1">'Tổng hợp điểm'!$A$6:$K$20</definedName>
    <definedName name="_xlchart.v1.0" hidden="1">'Các bảng tham chiếu &amp; Thống kê'!$E$14:$E$21</definedName>
    <definedName name="_xlchart.v1.1" hidden="1">'Các bảng tham chiếu &amp; Thống kê'!$F$13</definedName>
    <definedName name="_xlchart.v1.2" hidden="1">'Các bảng tham chiếu &amp; Thống kê'!$F$14:$F$21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8" l="1"/>
  <c r="F24" i="8"/>
  <c r="F15" i="8"/>
  <c r="F16" i="8"/>
  <c r="F17" i="8"/>
  <c r="F18" i="8"/>
  <c r="F19" i="8"/>
  <c r="F20" i="8"/>
  <c r="F21" i="8"/>
  <c r="F14" i="8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H4" i="12"/>
  <c r="I4" i="12" s="1"/>
  <c r="G4" i="12"/>
  <c r="J4" i="12" s="1"/>
  <c r="K4" i="12" s="1"/>
  <c r="F4" i="12"/>
  <c r="E4" i="12"/>
  <c r="D4" i="12"/>
  <c r="C4" i="12"/>
  <c r="I3" i="12"/>
  <c r="J3" i="12" s="1"/>
  <c r="K3" i="12" s="1"/>
  <c r="H3" i="12"/>
  <c r="G3" i="12"/>
  <c r="F3" i="12"/>
  <c r="E3" i="12"/>
  <c r="D3" i="12"/>
  <c r="C3" i="12"/>
  <c r="H2" i="12"/>
  <c r="I2" i="12" s="1"/>
  <c r="G2" i="12"/>
  <c r="J2" i="12" s="1"/>
  <c r="K2" i="12" s="1"/>
  <c r="F2" i="12"/>
  <c r="E2" i="12"/>
  <c r="D2" i="12"/>
  <c r="C2" i="12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G8" i="9"/>
  <c r="G9" i="9"/>
  <c r="G10" i="9"/>
  <c r="G11" i="9"/>
  <c r="G12" i="9"/>
  <c r="G13" i="9"/>
  <c r="G14" i="9"/>
  <c r="J14" i="9" s="1"/>
  <c r="K14" i="9" s="1"/>
  <c r="G15" i="9"/>
  <c r="G16" i="9"/>
  <c r="G17" i="9"/>
  <c r="J17" i="9" s="1"/>
  <c r="K17" i="9" s="1"/>
  <c r="G18" i="9"/>
  <c r="G19" i="9"/>
  <c r="J19" i="9" s="1"/>
  <c r="K19" i="9" s="1"/>
  <c r="G20" i="9"/>
  <c r="H7" i="9"/>
  <c r="G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7" i="9"/>
  <c r="J15" i="9" l="1"/>
  <c r="K15" i="9" s="1"/>
  <c r="J18" i="9"/>
  <c r="K18" i="9" s="1"/>
  <c r="J13" i="9"/>
  <c r="K13" i="9" s="1"/>
  <c r="J12" i="9"/>
  <c r="K12" i="9" s="1"/>
  <c r="J11" i="9"/>
  <c r="K11" i="9" s="1"/>
  <c r="J7" i="9"/>
  <c r="K7" i="9" s="1"/>
  <c r="J10" i="9"/>
  <c r="K10" i="9" s="1"/>
  <c r="J9" i="9"/>
  <c r="K9" i="9" s="1"/>
  <c r="J20" i="9"/>
  <c r="K20" i="9" s="1"/>
  <c r="J8" i="9"/>
  <c r="K8" i="9" s="1"/>
  <c r="J16" i="9"/>
  <c r="K16" i="9" s="1"/>
</calcChain>
</file>

<file path=xl/sharedStrings.xml><?xml version="1.0" encoding="utf-8"?>
<sst xmlns="http://schemas.openxmlformats.org/spreadsheetml/2006/main" count="255" uniqueCount="91">
  <si>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</si>
  <si>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</si>
  <si>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</si>
  <si>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</si>
  <si>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</si>
  <si>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</si>
  <si>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</si>
  <si>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</si>
  <si>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</si>
  <si>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</si>
  <si>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Mã SV</t>
  </si>
  <si>
    <t>Họ và tên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</si>
  <si>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</si>
  <si>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</si>
  <si>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</si>
  <si>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</si>
  <si>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</si>
  <si>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</si>
  <si>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</si>
  <si>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</si>
  <si>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</si>
  <si>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</si>
  <si>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</si>
  <si>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</si>
  <si>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</si>
  <si>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</si>
  <si>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</si>
  <si>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</si>
  <si>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</si>
  <si>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</si>
  <si>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</si>
  <si>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</si>
  <si>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STT</t>
  </si>
  <si>
    <t>Điểm TH1</t>
  </si>
  <si>
    <t>Điểm TH2</t>
  </si>
  <si>
    <t>Điểm TH3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</si>
  <si>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</si>
  <si>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</si>
  <si>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</si>
  <si>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</si>
  <si>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</si>
  <si>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</si>
  <si>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</si>
  <si>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</si>
  <si>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</si>
  <si>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</si>
  <si>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</si>
  <si>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</si>
  <si>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</si>
  <si>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</si>
  <si>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</si>
  <si>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</si>
  <si>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</si>
  <si>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</si>
  <si>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</si>
  <si>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</si>
  <si>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</si>
  <si>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</si>
  <si>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</si>
  <si>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Nguyên Hải Anh</t>
  </si>
  <si>
    <t>B1609765</t>
  </si>
  <si>
    <t>Trần Nam Dương</t>
  </si>
  <si>
    <t>B1609773</t>
  </si>
  <si>
    <t>Nguyêễn Duy Khánh</t>
  </si>
  <si>
    <t>Điểm bài tập lớn</t>
  </si>
  <si>
    <t>Điểm lý thuyết</t>
  </si>
  <si>
    <t>Nguyễn Hải Anh</t>
  </si>
  <si>
    <t>Nguyễn Duy Khanh</t>
  </si>
  <si>
    <t>Bảng quy đổi điểm</t>
  </si>
  <si>
    <t>Điểm theo thang điểm 4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</si>
  <si>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</si>
  <si>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</si>
  <si>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</si>
  <si>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</si>
  <si>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</si>
  <si>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</si>
  <si>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</si>
  <si>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</si>
  <si>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</si>
  <si>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thống kê theo điểm chữ</t>
  </si>
  <si>
    <t>Số lượng sinh viên</t>
  </si>
  <si>
    <t>Bảng thống kê SV</t>
  </si>
  <si>
    <t>Số SV nghỉ TH&gt;2</t>
  </si>
  <si>
    <t>Bảng Điểm Chuyên cần</t>
  </si>
  <si>
    <t>Số buổi vắng</t>
  </si>
  <si>
    <t>Bảng Danh sách Sinh viên</t>
  </si>
  <si>
    <t>Họ và Tên</t>
  </si>
  <si>
    <t>Số sinh viên điểm BT lớn =0 hoặc điểm LT =-3</t>
  </si>
  <si>
    <t>Điểm TH 1</t>
  </si>
  <si>
    <t>Điểm TH 2</t>
  </si>
  <si>
    <t>Điểm TH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</si>
</sst>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63"/>
      <scheme val="minor"/>
    </font>
    <font>
      <b/>
      <sz val="16"/>
      <color rgb="FF002060"/>
      <name val="Times New Roman"/>
      <family val="1"/>
    </font>
    <font>
      <sz val="12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sz val="12"/>
      <name val="Times New Roman"/>
      <family val="1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2" fillId="0" borderId="0" xfId="0" applyFont="1"/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/>
    </xf>
    <xf numFmtId="0" fontId="9" fillId="3" borderId="4" xfId="0" applyFont="1" applyFill="1" applyBorder="1"/>
    <xf numFmtId="0" fontId="0" fillId="0" borderId="5" xfId="0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1" fillId="0" borderId="0" xfId="0" applyFont="1"/>
    <xf numFmtId="0" fontId="9" fillId="2" borderId="1" xfId="0" applyFont="1" applyFill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9" fillId="3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0" borderId="5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 i="0" u="none" strike="noStrike" baseline="0"/>
              <a:t>Thống kê tổng số lượng Sinh viên theo điểm chữ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53D-49A3-AB7B-D4B44BB90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53D-49A3-AB7B-D4B44BB904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853D-49A3-AB7B-D4B44BB904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53D-49A3-AB7B-D4B44BB904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0.35833333333333334"/>
                  <c:y val="0.1402792359288422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3D-49A3-AB7B-D4B44BB904E0}"/>
                </c:ext>
              </c:extLst>
            </c:dLbl>
            <c:dLbl>
              <c:idx val="6"/>
              <c:layout>
                <c:manualLayout>
                  <c:x val="-0.11015540244969378"/>
                  <c:y val="6.400481189851260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99999999999997E-2"/>
                      <c:h val="7.03937007874015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53D-49A3-AB7B-D4B44BB904E0}"/>
                </c:ext>
              </c:extLst>
            </c:dLbl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D-49A3-AB7B-D4B44BB904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1431130</xdr:colOff>
      <xdr:row>29</xdr:row>
      <xdr:rowOff>152398</xdr:rowOff>
    </xdr:from>
    <xdr:to>
      <xdr:col>5</xdr:col>
      <xdr:colOff>1135855</xdr:colOff>
      <xdr:row>44</xdr:row>
      <xdr:rowOff>180973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DF3F5C-2EB8-BAD6-47F0-2D862697F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E7F8-6DD5-442F-AABD-F16E7A4C2785}">
  <dimension ref="A1:K20"/>
  <sheetViews>
    <sheetView workbookViewId="0">
      <pane xSplit="3" ySplit="6" topLeftCell="D15" activePane="bottomRight" state="frozen"/>
      <selection pane="topRight" activeCell="D1" sqref="D1"/>
      <selection pane="bottomLeft" activeCell="A7" sqref="A7"/>
      <selection pane="bottomRight" activeCell="J12" sqref="J12"/>
    </sheetView>
  </sheetViews>
  <sheetFormatPr defaultRowHeight="14.25"/>
  <cols>
    <col min="1" max="1" width="6.6640625" bestFit="1" customWidth="1"/>
    <col min="2" max="2" width="15.6640625"/>
    <col min="3" max="3" width="31.6640625" bestFit="1" customWidth="1"/>
    <col min="4" max="9" width="15.6640625"/>
    <col min="10" max="10" width="19.6640625" customWidth="1"/>
  </cols>
  <sheetData>
    <row r="1" spans="1:11" ht="19.899999999999999">
      <c r="A1" s="20"/>
      <c r="B1" s="31" t="s">
        <v>0</v>
      </c>
      <c r="C1" s="31"/>
      <c r="D1" s="31"/>
      <c r="E1" s="31"/>
      <c r="F1" s="31"/>
      <c r="G1" s="31"/>
      <c r="H1" s="31"/>
      <c r="I1" s="20"/>
      <c r="J1" s="20"/>
      <c r="K1" s="20"/>
    </row>
    <row r="2" spans="1:11" ht="15.4">
      <c r="A2" s="20"/>
      <c r="B2" s="21" t="s">
        <v>1</v>
      </c>
      <c r="C2" s="21">
        <v>1043</v>
      </c>
      <c r="D2" s="30" t="s">
        <v>2</v>
      </c>
      <c r="E2" s="30"/>
      <c r="F2" s="30" t="s">
        <v>3</v>
      </c>
      <c r="G2" s="30"/>
      <c r="H2" s="30"/>
      <c r="I2" s="20"/>
      <c r="J2" s="20"/>
      <c r="K2" s="20"/>
    </row>
    <row r="3" spans="1:11" ht="15.4">
      <c r="A3" s="20"/>
      <c r="B3" s="21" t="s">
        <v>4</v>
      </c>
      <c r="C3" s="21" t="s">
        <v>5</v>
      </c>
      <c r="D3" s="30" t="s">
        <v>6</v>
      </c>
      <c r="E3" s="30"/>
      <c r="F3" s="30">
        <v>8</v>
      </c>
      <c r="G3" s="30"/>
      <c r="H3" s="30"/>
      <c r="I3" s="20"/>
      <c r="J3" s="20"/>
      <c r="K3" s="20"/>
    </row>
    <row r="4" spans="1:11" ht="15.4">
      <c r="A4" s="20"/>
      <c r="B4" s="21" t="s">
        <v>7</v>
      </c>
      <c r="C4" s="21" t="s">
        <v>8</v>
      </c>
      <c r="D4" s="30" t="s">
        <v>9</v>
      </c>
      <c r="E4" s="30"/>
      <c r="F4" s="30">
        <v>1</v>
      </c>
      <c r="G4" s="30"/>
      <c r="H4" s="30"/>
      <c r="I4" s="20"/>
      <c r="J4" s="20"/>
      <c r="K4" s="20"/>
    </row>
    <row r="5" spans="1:11" ht="15.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30">
      <c r="A6" s="22" t="s">
        <v>32</v>
      </c>
      <c r="B6" s="22" t="s">
        <v>10</v>
      </c>
      <c r="C6" s="22" t="s">
        <v>86</v>
      </c>
      <c r="D6" s="22" t="s">
        <v>88</v>
      </c>
      <c r="E6" s="22" t="s">
        <v>89</v>
      </c>
      <c r="F6" s="22" t="s">
        <v>90</v>
      </c>
      <c r="G6" s="22" t="s">
        <v>12</v>
      </c>
      <c r="H6" s="22" t="s">
        <v>13</v>
      </c>
      <c r="I6" s="22" t="s">
        <v>14</v>
      </c>
      <c r="J6" s="22" t="s">
        <v>15</v>
      </c>
      <c r="K6" s="22" t="s">
        <v>16</v>
      </c>
    </row>
    <row r="7" spans="1:11" ht="15.4">
      <c r="A7" s="9">
        <v>1</v>
      </c>
      <c r="B7" s="18" t="s">
        <v>17</v>
      </c>
      <c r="C7" s="10" t="str">
        <f>VLOOKUP(RIGHT(B7, 8), 'Các bảng tham chiếu &amp; Thống kê'!$B$14:$C$27, 2, 0)</f>
        <v>Nguyễn Văn Hiếu</v>
      </c>
      <c r="D7" s="23">
        <f>VLOOKUP(RIGHT(B7, 8), 'Điểm thực hành các buổi'!$B$3:$F$16, 3, 0)</f>
        <v>0.45</v>
      </c>
      <c r="E7" s="23">
        <f>VLOOKUP(RIGHT(B7, 8), 'Điểm thực hành các buổi'!$B$3:$F$16, 4, 0)</f>
        <v>0.25</v>
      </c>
      <c r="F7" s="23">
        <f>VLOOKUP(RIGHT(B7, 8), 'Điểm thực hành các buổi'!$B$3:$F$16, 5, 0)</f>
        <v>0.3</v>
      </c>
      <c r="G7" s="23">
        <f>VLOOKUP(RIGHT(B7, 8), 'Điểm bài tập lớn'!$B$3:$D$16, 3, 0)</f>
        <v>0.5</v>
      </c>
      <c r="H7" s="23">
        <f>VLOOKUP(RIGHT(B7, 8), 'Điểm lý thuyết'!$B$3:$D$16, 3, 0)</f>
        <v>4.2</v>
      </c>
      <c r="I7" s="28">
        <f>ROUND(IF(H7=-3, 0, D7+E7+F7+G7+0.6*H7), 1)</f>
        <v>4</v>
      </c>
      <c r="J7" s="29">
        <f>ROUND(IF(OR(G7=0, VALUE(LEFT(B7, 1))&gt;2), 0, I7 + VLOOKUP(VALUE(LEFT(B7, 1)), 'Các bảng tham chiếu &amp; Thống kê'!$E$3:$F$5, 2, 0)), 1)</f>
        <v>5</v>
      </c>
      <c r="K7" s="23" t="str">
        <f>VLOOKUP(J7, 'Các bảng tham chiếu &amp; Thống kê'!$A$3:$B$10, 2, 1)</f>
        <v>D+</v>
      </c>
    </row>
    <row r="8" spans="1:11" ht="15.4">
      <c r="A8" s="9">
        <v>2</v>
      </c>
      <c r="B8" s="18" t="s">
        <v>18</v>
      </c>
      <c r="C8" s="10" t="str">
        <f>VLOOKUP(RIGHT(B8, 8), 'Các bảng tham chiếu &amp; Thống kê'!$B$14:$C$27, 2, 0)</f>
        <v>Lý Minh Trí</v>
      </c>
      <c r="D8" s="23">
        <f>VLOOKUP(RIGHT(B8, 8), 'Điểm thực hành các buổi'!$B$3:$F$16, 3, 0)</f>
        <v>0.5</v>
      </c>
      <c r="E8" s="23">
        <f>VLOOKUP(RIGHT(B8, 8), 'Điểm thực hành các buổi'!$B$3:$F$16, 4, 0)</f>
        <v>0.35</v>
      </c>
      <c r="F8" s="23">
        <f>VLOOKUP(RIGHT(B8, 8), 'Điểm thực hành các buổi'!$B$3:$F$16, 5, 0)</f>
        <v>0.4</v>
      </c>
      <c r="G8" s="23">
        <f>VLOOKUP(RIGHT(B8, 8), 'Điểm bài tập lớn'!$B$3:$D$16, 3, 0)</f>
        <v>1</v>
      </c>
      <c r="H8" s="23">
        <f>VLOOKUP(RIGHT(B8, 8), 'Điểm lý thuyết'!$B$3:$D$16, 3, 0)</f>
        <v>5.8</v>
      </c>
      <c r="I8" s="28">
        <f t="shared" ref="I8:I20" si="0">ROUND(IF(H8=-3, 0, D8+E8+F8+G8+0.6*H8), 1)</f>
        <v>5.7</v>
      </c>
      <c r="J8" s="29">
        <f>ROUND(IF(OR(G8=0, VALUE(LEFT(B8, 1))&gt;2), 0, I8 + VLOOKUP(VALUE(LEFT(B8, 1)), 'Các bảng tham chiếu &amp; Thống kê'!$E$3:$F$5, 2, 0)), 1)</f>
        <v>6.2</v>
      </c>
      <c r="K8" s="23" t="str">
        <f>VLOOKUP(J8, 'Các bảng tham chiếu &amp; Thống kê'!$A$3:$B$10, 2, 1)</f>
        <v>C</v>
      </c>
    </row>
    <row r="9" spans="1:11" ht="15.4">
      <c r="A9" s="9">
        <v>3</v>
      </c>
      <c r="B9" s="18" t="s">
        <v>19</v>
      </c>
      <c r="C9" s="10" t="str">
        <f>VLOOKUP(RIGHT(B9, 8), 'Các bảng tham chiếu &amp; Thống kê'!$B$14:$C$27, 2, 0)</f>
        <v>Nguyễn Kiều Mi</v>
      </c>
      <c r="D9" s="23">
        <f>VLOOKUP(RIGHT(B9, 8), 'Điểm thực hành các buổi'!$B$3:$F$16, 3, 0)</f>
        <v>0.25</v>
      </c>
      <c r="E9" s="23">
        <f>VLOOKUP(RIGHT(B9, 8), 'Điểm thực hành các buổi'!$B$3:$F$16, 4, 0)</f>
        <v>0.25</v>
      </c>
      <c r="F9" s="23">
        <f>VLOOKUP(RIGHT(B9, 8), 'Điểm thực hành các buổi'!$B$3:$F$16, 5, 0)</f>
        <v>0.3</v>
      </c>
      <c r="G9" s="23">
        <f>VLOOKUP(RIGHT(B9, 8), 'Điểm bài tập lớn'!$B$3:$D$16, 3, 0)</f>
        <v>0.5</v>
      </c>
      <c r="H9" s="23">
        <f>VLOOKUP(RIGHT(B9, 8), 'Điểm lý thuyết'!$B$3:$D$16, 3, 0)</f>
        <v>5.8</v>
      </c>
      <c r="I9" s="28">
        <f t="shared" si="0"/>
        <v>4.8</v>
      </c>
      <c r="J9" s="29">
        <f>ROUND(IF(OR(G9=0, VALUE(LEFT(B9, 1))&gt;2), 0, I9 + VLOOKUP(VALUE(LEFT(B9, 1)), 'Các bảng tham chiếu &amp; Thống kê'!$E$3:$F$5, 2, 0)), 1)</f>
        <v>5.8</v>
      </c>
      <c r="K9" s="23" t="str">
        <f>VLOOKUP(J9, 'Các bảng tham chiếu &amp; Thống kê'!$A$3:$B$10, 2, 1)</f>
        <v>C</v>
      </c>
    </row>
    <row r="10" spans="1:11" ht="15.4">
      <c r="A10" s="9">
        <v>4</v>
      </c>
      <c r="B10" s="18" t="s">
        <v>20</v>
      </c>
      <c r="C10" s="10" t="str">
        <f>VLOOKUP(RIGHT(B10, 8), 'Các bảng tham chiếu &amp; Thống kê'!$B$14:$C$27, 2, 0)</f>
        <v>Đặng Duy Linh</v>
      </c>
      <c r="D10" s="23">
        <f>VLOOKUP(RIGHT(B10, 8), 'Điểm thực hành các buổi'!$B$3:$F$16, 3, 0)</f>
        <v>0.4</v>
      </c>
      <c r="E10" s="23">
        <f>VLOOKUP(RIGHT(B10, 8), 'Điểm thực hành các buổi'!$B$3:$F$16, 4, 0)</f>
        <v>0.25</v>
      </c>
      <c r="F10" s="23">
        <f>VLOOKUP(RIGHT(B10, 8), 'Điểm thực hành các buổi'!$B$3:$F$16, 5, 0)</f>
        <v>0.35</v>
      </c>
      <c r="G10" s="23">
        <f>VLOOKUP(RIGHT(B10, 8), 'Điểm bài tập lớn'!$B$3:$D$16, 3, 0)</f>
        <v>1</v>
      </c>
      <c r="H10" s="23">
        <f>VLOOKUP(RIGHT(B10, 8), 'Điểm lý thuyết'!$B$3:$D$16, 3, 0)</f>
        <v>4.5</v>
      </c>
      <c r="I10" s="28">
        <f t="shared" si="0"/>
        <v>4.7</v>
      </c>
      <c r="J10" s="29">
        <f>ROUND(IF(OR(G10=0, VALUE(LEFT(B10, 1))&gt;2), 0, I10 + VLOOKUP(VALUE(LEFT(B10, 1)), 'Các bảng tham chiếu &amp; Thống kê'!$E$3:$F$5, 2, 0)), 1)</f>
        <v>5.7</v>
      </c>
      <c r="K10" s="23" t="str">
        <f>VLOOKUP(J10, 'Các bảng tham chiếu &amp; Thống kê'!$A$3:$B$10, 2, 1)</f>
        <v>C</v>
      </c>
    </row>
    <row r="11" spans="1:11" ht="15.4">
      <c r="A11" s="9">
        <v>5</v>
      </c>
      <c r="B11" s="18" t="s">
        <v>21</v>
      </c>
      <c r="C11" s="10" t="str">
        <f>VLOOKUP(RIGHT(B11, 8), 'Các bảng tham chiếu &amp; Thống kê'!$B$14:$C$27, 2, 0)</f>
        <v>Lê Thị Trúc Linh</v>
      </c>
      <c r="D11" s="23">
        <f>VLOOKUP(RIGHT(B11, 8), 'Điểm thực hành các buổi'!$B$3:$F$16, 3, 0)</f>
        <v>0.45</v>
      </c>
      <c r="E11" s="23">
        <f>VLOOKUP(RIGHT(B11, 8), 'Điểm thực hành các buổi'!$B$3:$F$16, 4, 0)</f>
        <v>0.4</v>
      </c>
      <c r="F11" s="23">
        <f>VLOOKUP(RIGHT(B11, 8), 'Điểm thực hành các buổi'!$B$3:$F$16, 5, 0)</f>
        <v>0.35</v>
      </c>
      <c r="G11" s="23">
        <f>VLOOKUP(RIGHT(B11, 8), 'Điểm bài tập lớn'!$B$3:$D$16, 3, 0)</f>
        <v>0.75</v>
      </c>
      <c r="H11" s="23">
        <f>VLOOKUP(RIGHT(B11, 8), 'Điểm lý thuyết'!$B$3:$D$16, 3, 0)</f>
        <v>5.5</v>
      </c>
      <c r="I11" s="28">
        <f t="shared" si="0"/>
        <v>5.3</v>
      </c>
      <c r="J11" s="29">
        <f>ROUND(IF(OR(G11=0, VALUE(LEFT(B11, 1))&gt;2), 0, I11 + VLOOKUP(VALUE(LEFT(B11, 1)), 'Các bảng tham chiếu &amp; Thống kê'!$E$3:$F$5, 2, 0)), 1)</f>
        <v>5.6</v>
      </c>
      <c r="K11" s="23" t="str">
        <f>VLOOKUP(J11, 'Các bảng tham chiếu &amp; Thống kê'!$A$3:$B$10, 2, 1)</f>
        <v>C</v>
      </c>
    </row>
    <row r="12" spans="1:11" ht="15.4">
      <c r="A12" s="9">
        <v>6</v>
      </c>
      <c r="B12" s="18" t="s">
        <v>22</v>
      </c>
      <c r="C12" s="10" t="str">
        <f>VLOOKUP(RIGHT(B12, 8), 'Các bảng tham chiếu &amp; Thống kê'!$B$14:$C$27, 2, 0)</f>
        <v>Phạm Thị Huỳnh</v>
      </c>
      <c r="D12" s="23">
        <f>VLOOKUP(RIGHT(B12, 8), 'Điểm thực hành các buổi'!$B$3:$F$16, 3, 0)</f>
        <v>0.4</v>
      </c>
      <c r="E12" s="23">
        <f>VLOOKUP(RIGHT(B12, 8), 'Điểm thực hành các buổi'!$B$3:$F$16, 4, 0)</f>
        <v>0.45</v>
      </c>
      <c r="F12" s="23">
        <f>VLOOKUP(RIGHT(B12, 8), 'Điểm thực hành các buổi'!$B$3:$F$16, 5, 0)</f>
        <v>0.5</v>
      </c>
      <c r="G12" s="23">
        <f>VLOOKUP(RIGHT(B12, 8), 'Điểm bài tập lớn'!$B$3:$D$16, 3, 0)</f>
        <v>1.2</v>
      </c>
      <c r="H12" s="23">
        <f>VLOOKUP(RIGHT(B12, 8), 'Điểm lý thuyết'!$B$3:$D$16, 3, 0)</f>
        <v>7.5</v>
      </c>
      <c r="I12" s="28">
        <f t="shared" si="0"/>
        <v>7.1</v>
      </c>
      <c r="J12" s="29">
        <f>ROUND(IF(OR(G12=0, VALUE(LEFT(B12, 1))&gt;2), 0, I12 + VLOOKUP(VALUE(LEFT(B12, 1)), 'Các bảng tham chiếu &amp; Thống kê'!$E$3:$F$5, 2, 0)), 1)</f>
        <v>8.1</v>
      </c>
      <c r="K12" s="23" t="str">
        <f>VLOOKUP(J12, 'Các bảng tham chiếu &amp; Thống kê'!$A$3:$B$10, 2, 1)</f>
        <v>B+</v>
      </c>
    </row>
    <row r="13" spans="1:11" ht="15.4">
      <c r="A13" s="9">
        <v>7</v>
      </c>
      <c r="B13" s="18" t="s">
        <v>23</v>
      </c>
      <c r="C13" s="10" t="str">
        <f>VLOOKUP(RIGHT(B13, 8), 'Các bảng tham chiếu &amp; Thống kê'!$B$14:$C$27, 2, 0)</f>
        <v>Lê Minh Thông</v>
      </c>
      <c r="D13" s="23">
        <f>VLOOKUP(RIGHT(B13, 8), 'Điểm thực hành các buổi'!$B$3:$F$16, 3, 0)</f>
        <v>0.4</v>
      </c>
      <c r="E13" s="23">
        <f>VLOOKUP(RIGHT(B13, 8), 'Điểm thực hành các buổi'!$B$3:$F$16, 4, 0)</f>
        <v>0.4</v>
      </c>
      <c r="F13" s="23">
        <f>VLOOKUP(RIGHT(B13, 8), 'Điểm thực hành các buổi'!$B$3:$F$16, 5, 0)</f>
        <v>0.4</v>
      </c>
      <c r="G13" s="23">
        <f>VLOOKUP(RIGHT(B13, 8), 'Điểm bài tập lớn'!$B$3:$D$16, 3, 0)</f>
        <v>1</v>
      </c>
      <c r="H13" s="23">
        <f>VLOOKUP(RIGHT(B13, 8), 'Điểm lý thuyết'!$B$3:$D$16, 3, 0)</f>
        <v>5.3</v>
      </c>
      <c r="I13" s="28">
        <f t="shared" si="0"/>
        <v>5.4</v>
      </c>
      <c r="J13" s="29">
        <f>ROUND(IF(OR(G13=0, VALUE(LEFT(B13, 1))&gt;2), 0, I13 + VLOOKUP(VALUE(LEFT(B13, 1)), 'Các bảng tham chiếu &amp; Thống kê'!$E$3:$F$5, 2, 0)), 1)</f>
        <v>6.4</v>
      </c>
      <c r="K13" s="23" t="str">
        <f>VLOOKUP(J13, 'Các bảng tham chiếu &amp; Thống kê'!$A$3:$B$10, 2, 1)</f>
        <v>C</v>
      </c>
    </row>
    <row r="14" spans="1:11" ht="15.4">
      <c r="A14" s="9">
        <v>8</v>
      </c>
      <c r="B14" s="18" t="s">
        <v>24</v>
      </c>
      <c r="C14" s="10" t="str">
        <f>VLOOKUP(RIGHT(B14, 8), 'Các bảng tham chiếu &amp; Thống kê'!$B$14:$C$27, 2, 0)</f>
        <v>Huỳnh Thị Diễm</v>
      </c>
      <c r="D14" s="23">
        <f>VLOOKUP(RIGHT(B14, 8), 'Điểm thực hành các buổi'!$B$3:$F$16, 3, 0)</f>
        <v>0.45</v>
      </c>
      <c r="E14" s="23">
        <f>VLOOKUP(RIGHT(B14, 8), 'Điểm thực hành các buổi'!$B$3:$F$16, 4, 0)</f>
        <v>0.4</v>
      </c>
      <c r="F14" s="23">
        <f>VLOOKUP(RIGHT(B14, 8), 'Điểm thực hành các buổi'!$B$3:$F$16, 5, 0)</f>
        <v>0.45</v>
      </c>
      <c r="G14" s="23">
        <f>VLOOKUP(RIGHT(B14, 8), 'Điểm bài tập lớn'!$B$3:$D$16, 3, 0)</f>
        <v>0</v>
      </c>
      <c r="H14" s="23">
        <f>VLOOKUP(RIGHT(B14, 8), 'Điểm lý thuyết'!$B$3:$D$16, 3, 0)</f>
        <v>6.8</v>
      </c>
      <c r="I14" s="28">
        <f t="shared" si="0"/>
        <v>5.4</v>
      </c>
      <c r="J14" s="29">
        <f>ROUND(IF(OR(G14=0, VALUE(LEFT(B14, 1))&gt;2), 0, I14 + VLOOKUP(VALUE(LEFT(B14, 1)), 'Các bảng tham chiếu &amp; Thống kê'!$E$3:$F$5, 2, 0)), 1)</f>
        <v>0</v>
      </c>
      <c r="K14" s="23" t="str">
        <f>VLOOKUP(J14, 'Các bảng tham chiếu &amp; Thống kê'!$A$3:$B$10, 2, 1)</f>
        <v>F</v>
      </c>
    </row>
    <row r="15" spans="1:11" ht="15.4">
      <c r="A15" s="9">
        <v>9</v>
      </c>
      <c r="B15" s="18" t="s">
        <v>25</v>
      </c>
      <c r="C15" s="10" t="str">
        <f>VLOOKUP(RIGHT(B15, 8), 'Các bảng tham chiếu &amp; Thống kê'!$B$14:$C$27, 2, 0)</f>
        <v>Trần Thanh Nguyên</v>
      </c>
      <c r="D15" s="23">
        <f>VLOOKUP(RIGHT(B15, 8), 'Điểm thực hành các buổi'!$B$3:$F$16, 3, 0)</f>
        <v>0.45</v>
      </c>
      <c r="E15" s="23">
        <f>VLOOKUP(RIGHT(B15, 8), 'Điểm thực hành các buổi'!$B$3:$F$16, 4, 0)</f>
        <v>0.4</v>
      </c>
      <c r="F15" s="23">
        <f>VLOOKUP(RIGHT(B15, 8), 'Điểm thực hành các buổi'!$B$3:$F$16, 5, 0)</f>
        <v>0.4</v>
      </c>
      <c r="G15" s="23">
        <f>VLOOKUP(RIGHT(B15, 8), 'Điểm bài tập lớn'!$B$3:$D$16, 3, 0)</f>
        <v>0.75</v>
      </c>
      <c r="H15" s="23">
        <f>VLOOKUP(RIGHT(B15, 8), 'Điểm lý thuyết'!$B$3:$D$16, 3, 0)</f>
        <v>6.3</v>
      </c>
      <c r="I15" s="28">
        <f t="shared" si="0"/>
        <v>5.8</v>
      </c>
      <c r="J15" s="29">
        <f>ROUND(IF(OR(G15=0, VALUE(LEFT(B15, 1))&gt;2), 0, I15 + VLOOKUP(VALUE(LEFT(B15, 1)), 'Các bảng tham chiếu &amp; Thống kê'!$E$3:$F$5, 2, 0)), 1)</f>
        <v>6.8</v>
      </c>
      <c r="K15" s="23" t="str">
        <f>VLOOKUP(J15, 'Các bảng tham chiếu &amp; Thống kê'!$A$3:$B$10, 2, 1)</f>
        <v>C+</v>
      </c>
    </row>
    <row r="16" spans="1:11" ht="15.4">
      <c r="A16" s="9">
        <v>10</v>
      </c>
      <c r="B16" s="18" t="s">
        <v>26</v>
      </c>
      <c r="C16" s="10" t="str">
        <f>VLOOKUP(RIGHT(B16, 8), 'Các bảng tham chiếu &amp; Thống kê'!$B$14:$C$27, 2, 0)</f>
        <v>Nguyễn Thị Đào</v>
      </c>
      <c r="D16" s="23">
        <f>VLOOKUP(RIGHT(B16, 8), 'Điểm thực hành các buổi'!$B$3:$F$16, 3, 0)</f>
        <v>0.3</v>
      </c>
      <c r="E16" s="23">
        <f>VLOOKUP(RIGHT(B16, 8), 'Điểm thực hành các buổi'!$B$3:$F$16, 4, 0)</f>
        <v>0.5</v>
      </c>
      <c r="F16" s="23">
        <f>VLOOKUP(RIGHT(B16, 8), 'Điểm thực hành các buổi'!$B$3:$F$16, 5, 0)</f>
        <v>0.45</v>
      </c>
      <c r="G16" s="23">
        <f>VLOOKUP(RIGHT(B16, 8), 'Điểm bài tập lớn'!$B$3:$D$16, 3, 0)</f>
        <v>0.3</v>
      </c>
      <c r="H16" s="23">
        <f>VLOOKUP(RIGHT(B16, 8), 'Điểm lý thuyết'!$B$3:$D$16, 3, 0)</f>
        <v>8.3000000000000007</v>
      </c>
      <c r="I16" s="28">
        <f t="shared" si="0"/>
        <v>6.5</v>
      </c>
      <c r="J16" s="29">
        <f>ROUND(IF(OR(G16=0, VALUE(LEFT(B16, 1))&gt;2), 0, I16 + VLOOKUP(VALUE(LEFT(B16, 1)), 'Các bảng tham chiếu &amp; Thống kê'!$E$3:$F$5, 2, 0)), 1)</f>
        <v>7</v>
      </c>
      <c r="K16" s="23" t="str">
        <f>VLOOKUP(J16, 'Các bảng tham chiếu &amp; Thống kê'!$A$3:$B$10, 2, 1)</f>
        <v>B</v>
      </c>
    </row>
    <row r="17" spans="1:11" ht="15.4">
      <c r="A17" s="9">
        <v>11</v>
      </c>
      <c r="B17" s="18" t="s">
        <v>27</v>
      </c>
      <c r="C17" s="10" t="str">
        <f>VLOOKUP(RIGHT(B17, 8), 'Các bảng tham chiếu &amp; Thống kê'!$B$14:$C$27, 2, 0)</f>
        <v>Nguyễn Chí Thanh</v>
      </c>
      <c r="D17" s="23">
        <f>VLOOKUP(RIGHT(B17, 8), 'Điểm thực hành các buổi'!$B$3:$F$16, 3, 0)</f>
        <v>0.4</v>
      </c>
      <c r="E17" s="23">
        <f>VLOOKUP(RIGHT(B17, 8), 'Điểm thực hành các buổi'!$B$3:$F$16, 4, 0)</f>
        <v>0.45</v>
      </c>
      <c r="F17" s="23">
        <f>VLOOKUP(RIGHT(B17, 8), 'Điểm thực hành các buổi'!$B$3:$F$16, 5, 0)</f>
        <v>0.4</v>
      </c>
      <c r="G17" s="23">
        <f>VLOOKUP(RIGHT(B17, 8), 'Điểm bài tập lớn'!$B$3:$D$16, 3, 0)</f>
        <v>0.3</v>
      </c>
      <c r="H17" s="23">
        <f>VLOOKUP(RIGHT(B17, 8), 'Điểm lý thuyết'!$B$3:$D$16, 3, 0)</f>
        <v>-3</v>
      </c>
      <c r="I17" s="28">
        <f t="shared" si="0"/>
        <v>0</v>
      </c>
      <c r="J17" s="29">
        <f>ROUND(IF(OR(G17=0, VALUE(LEFT(B17, 1))&gt;2), 0, I17 + VLOOKUP(VALUE(LEFT(B17, 1)), 'Các bảng tham chiếu &amp; Thống kê'!$E$3:$F$5, 2, 0)), 1)</f>
        <v>0</v>
      </c>
      <c r="K17" s="23" t="str">
        <f>VLOOKUP(J17, 'Các bảng tham chiếu &amp; Thống kê'!$A$3:$B$10, 2, 1)</f>
        <v>F</v>
      </c>
    </row>
    <row r="18" spans="1:11" ht="15.4">
      <c r="A18" s="9">
        <v>12</v>
      </c>
      <c r="B18" s="18" t="s">
        <v>28</v>
      </c>
      <c r="C18" s="10" t="str">
        <f>VLOOKUP(RIGHT(B18, 8), 'Các bảng tham chiếu &amp; Thống kê'!$B$14:$C$27, 2, 0)</f>
        <v>Nguyễn Hải Anh</v>
      </c>
      <c r="D18" s="23">
        <f>VLOOKUP(RIGHT(B18, 8), 'Điểm thực hành các buổi'!$B$3:$F$16, 3, 0)</f>
        <v>0.5</v>
      </c>
      <c r="E18" s="23">
        <f>VLOOKUP(RIGHT(B18, 8), 'Điểm thực hành các buổi'!$B$3:$F$16, 4, 0)</f>
        <v>0.5</v>
      </c>
      <c r="F18" s="23">
        <f>VLOOKUP(RIGHT(B18, 8), 'Điểm thực hành các buổi'!$B$3:$F$16, 5, 0)</f>
        <v>0.45</v>
      </c>
      <c r="G18" s="23">
        <f>VLOOKUP(RIGHT(B18, 8), 'Điểm bài tập lớn'!$B$3:$D$16, 3, 0)</f>
        <v>1.5</v>
      </c>
      <c r="H18" s="23">
        <f>VLOOKUP(RIGHT(B18, 8), 'Điểm lý thuyết'!$B$3:$D$16, 3, 0)</f>
        <v>7</v>
      </c>
      <c r="I18" s="28">
        <f t="shared" si="0"/>
        <v>7.2</v>
      </c>
      <c r="J18" s="29">
        <f>ROUND(IF(OR(G18=0, VALUE(LEFT(B18, 1))&gt;2), 0, I18 + VLOOKUP(VALUE(LEFT(B18, 1)), 'Các bảng tham chiếu &amp; Thống kê'!$E$3:$F$5, 2, 0)), 1)</f>
        <v>7.5</v>
      </c>
      <c r="K18" s="23" t="str">
        <f>VLOOKUP(J18, 'Các bảng tham chiếu &amp; Thống kê'!$A$3:$B$10, 2, 1)</f>
        <v>B</v>
      </c>
    </row>
    <row r="19" spans="1:11" ht="15.4">
      <c r="A19" s="9">
        <v>13</v>
      </c>
      <c r="B19" s="18" t="s">
        <v>29</v>
      </c>
      <c r="C19" s="10" t="str">
        <f>VLOOKUP(RIGHT(B19, 8), 'Các bảng tham chiếu &amp; Thống kê'!$B$14:$C$27, 2, 0)</f>
        <v>Trần Nam Dương</v>
      </c>
      <c r="D19" s="23">
        <f>VLOOKUP(RIGHT(B19, 8), 'Điểm thực hành các buổi'!$B$3:$F$16, 3, 0)</f>
        <v>0.4</v>
      </c>
      <c r="E19" s="23">
        <f>VLOOKUP(RIGHT(B19, 8), 'Điểm thực hành các buổi'!$B$3:$F$16, 4, 0)</f>
        <v>0.4</v>
      </c>
      <c r="F19" s="23">
        <f>VLOOKUP(RIGHT(B19, 8), 'Điểm thực hành các buổi'!$B$3:$F$16, 5, 0)</f>
        <v>0.35</v>
      </c>
      <c r="G19" s="23">
        <f>VLOOKUP(RIGHT(B19, 8), 'Điểm bài tập lớn'!$B$3:$D$16, 3, 0)</f>
        <v>1.35</v>
      </c>
      <c r="H19" s="23">
        <f>VLOOKUP(RIGHT(B19, 8), 'Điểm lý thuyết'!$B$3:$D$16, 3, 0)</f>
        <v>-3</v>
      </c>
      <c r="I19" s="28">
        <f t="shared" si="0"/>
        <v>0</v>
      </c>
      <c r="J19" s="29">
        <f>ROUND(IF(OR(G19=0, VALUE(LEFT(B19, 1))&gt;2), 0, I19 + VLOOKUP(VALUE(LEFT(B19, 1)), 'Các bảng tham chiếu &amp; Thống kê'!$E$3:$F$5, 2, 0)), 1)</f>
        <v>0</v>
      </c>
      <c r="K19" s="23" t="str">
        <f>VLOOKUP(J19, 'Các bảng tham chiếu &amp; Thống kê'!$A$3:$B$10, 2, 1)</f>
        <v>F</v>
      </c>
    </row>
    <row r="20" spans="1:11" ht="15.4">
      <c r="A20" s="9">
        <v>14</v>
      </c>
      <c r="B20" s="18" t="s">
        <v>30</v>
      </c>
      <c r="C20" s="10" t="str">
        <f>VLOOKUP(RIGHT(B20, 8), 'Các bảng tham chiếu &amp; Thống kê'!$B$14:$C$27, 2, 0)</f>
        <v>Nguyễn Duy Khanh</v>
      </c>
      <c r="D20" s="23">
        <f>VLOOKUP(RIGHT(B20, 8), 'Điểm thực hành các buổi'!$B$3:$F$16, 3, 0)</f>
        <v>0.35</v>
      </c>
      <c r="E20" s="23">
        <f>VLOOKUP(RIGHT(B20, 8), 'Điểm thực hành các buổi'!$B$3:$F$16, 4, 0)</f>
        <v>0.4</v>
      </c>
      <c r="F20" s="23">
        <f>VLOOKUP(RIGHT(B20, 8), 'Điểm thực hành các buổi'!$B$3:$F$16, 5, 0)</f>
        <v>0</v>
      </c>
      <c r="G20" s="23">
        <f>VLOOKUP(RIGHT(B20, 8), 'Điểm bài tập lớn'!$B$3:$D$16, 3, 0)</f>
        <v>0.85</v>
      </c>
      <c r="H20" s="23">
        <f>VLOOKUP(RIGHT(B20, 8), 'Điểm lý thuyết'!$B$3:$D$16, 3, 0)</f>
        <v>6.5</v>
      </c>
      <c r="I20" s="28">
        <f t="shared" si="0"/>
        <v>5.5</v>
      </c>
      <c r="J20" s="29">
        <f>ROUND(IF(OR(G20=0, VALUE(LEFT(B20, 1))&gt;2), 0, I20 + VLOOKUP(VALUE(LEFT(B20, 1)), 'Các bảng tham chiếu &amp; Thống kê'!$E$3:$F$5, 2, 0)), 1)</f>
        <v>6.5</v>
      </c>
      <c r="K20" s="23" t="str">
        <f>VLOOKUP(J20, 'Các bảng tham chiếu &amp; Thống kê'!$A$3:$B$10, 2, 1)</f>
        <v>C+</v>
      </c>
    </row>
  </sheetData>
  <autoFilter ref="A6:K20" xr:uid="{33DDE7F8-6DD5-442F-AABD-F16E7A4C2785}"/>
  <mergeCells count="7">
    <mergeCell ref="D4:E4"/>
    <mergeCell ref="F4:H4"/>
    <mergeCell ref="B1:H1"/>
    <mergeCell ref="D2:E2"/>
    <mergeCell ref="F2:H2"/>
    <mergeCell ref="D3:E3"/>
    <mergeCell ref="F3:H3"/>
  </mergeCells>
  <conditionalFormatting sqref="K7:K20">
    <cfRule type="cellIs" dxfId="2" priority="1" operator="lessThan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385A-D449-4727-B581-5A3E6AFA8E71}">
  <dimension ref="A1:K12"/>
  <sheetViews>
    <sheetView workbookViewId="0">
      <selection activeCell="J16" sqref="J16"/>
    </sheetView>
  </sheetViews>
  <sheetFormatPr defaultRowHeight="14.25"/>
  <cols>
    <col min="1" max="1" width="6.6640625" bestFit="1" customWidth="1"/>
    <col min="3" max="3" width="31.6640625" bestFit="1" customWidth="1"/>
    <col min="10" max="10" width="19.6640625" customWidth="1"/>
  </cols>
  <sheetData>
    <row r="1" spans="1:11" ht="30">
      <c r="A1" s="22" t="s">
        <v>32</v>
      </c>
      <c r="B1" s="22" t="s">
        <v>10</v>
      </c>
      <c r="C1" s="22" t="s">
        <v>86</v>
      </c>
      <c r="D1" s="22" t="s">
        <v>88</v>
      </c>
      <c r="E1" s="22" t="s">
        <v>89</v>
      </c>
      <c r="F1" s="22" t="s">
        <v>90</v>
      </c>
      <c r="G1" s="22" t="s">
        <v>12</v>
      </c>
      <c r="H1" s="22" t="s">
        <v>13</v>
      </c>
      <c r="I1" s="22" t="s">
        <v>14</v>
      </c>
      <c r="J1" s="22" t="s">
        <v>15</v>
      </c>
      <c r="K1" s="22" t="s">
        <v>16</v>
      </c>
    </row>
    <row r="2" spans="1:11" ht="15.4">
      <c r="A2" s="9">
        <v>1</v>
      </c>
      <c r="B2" s="18" t="s">
        <v>17</v>
      </c>
      <c r="C2" s="10" t="s">
        <v>37</v>
      </c>
      <c r="D2" s="23">
        <v>0.45</v>
      </c>
      <c r="E2" s="23">
        <v>0.25</v>
      </c>
      <c r="F2" s="23">
        <v>0.3</v>
      </c>
      <c r="G2" s="23">
        <v>0.5</v>
      </c>
      <c r="H2" s="23">
        <v>4.2</v>
      </c>
      <c r="I2" s="28">
        <v>4</v>
      </c>
      <c r="J2" s="29">
        <v>5</v>
      </c>
      <c r="K2" s="23" t="s">
        <v>73</v>
      </c>
    </row>
    <row r="3" spans="1:11" ht="15.4">
      <c r="A3" s="9">
        <v>2</v>
      </c>
      <c r="B3" s="18" t="s">
        <v>18</v>
      </c>
      <c r="C3" s="10" t="s">
        <v>39</v>
      </c>
      <c r="D3" s="23">
        <v>0.5</v>
      </c>
      <c r="E3" s="23">
        <v>0.35</v>
      </c>
      <c r="F3" s="23">
        <v>0.4</v>
      </c>
      <c r="G3" s="23">
        <v>1</v>
      </c>
      <c r="H3" s="23">
        <v>5.8</v>
      </c>
      <c r="I3" s="28">
        <v>5.7</v>
      </c>
      <c r="J3" s="29">
        <v>6.2</v>
      </c>
      <c r="K3" s="23" t="s">
        <v>74</v>
      </c>
    </row>
    <row r="4" spans="1:11" ht="15.4">
      <c r="A4" s="9">
        <v>3</v>
      </c>
      <c r="B4" s="18" t="s">
        <v>19</v>
      </c>
      <c r="C4" s="10" t="s">
        <v>41</v>
      </c>
      <c r="D4" s="23">
        <v>0.25</v>
      </c>
      <c r="E4" s="23">
        <v>0.25</v>
      </c>
      <c r="F4" s="23">
        <v>0.3</v>
      </c>
      <c r="G4" s="23">
        <v>0.5</v>
      </c>
      <c r="H4" s="23">
        <v>5.8</v>
      </c>
      <c r="I4" s="28">
        <v>4.8</v>
      </c>
      <c r="J4" s="29">
        <v>5.8</v>
      </c>
      <c r="K4" s="23" t="s">
        <v>74</v>
      </c>
    </row>
    <row r="5" spans="1:11" ht="15.4">
      <c r="A5" s="9">
        <v>4</v>
      </c>
      <c r="B5" s="18" t="s">
        <v>20</v>
      </c>
      <c r="C5" s="10" t="s">
        <v>43</v>
      </c>
      <c r="D5" s="23">
        <v>0.4</v>
      </c>
      <c r="E5" s="23">
        <v>0.25</v>
      </c>
      <c r="F5" s="23">
        <v>0.35</v>
      </c>
      <c r="G5" s="23">
        <v>1</v>
      </c>
      <c r="H5" s="23">
        <v>4.5</v>
      </c>
      <c r="I5" s="28">
        <v>4.7</v>
      </c>
      <c r="J5" s="29">
        <v>5.7</v>
      </c>
      <c r="K5" s="23" t="s">
        <v>74</v>
      </c>
    </row>
    <row r="6" spans="1:11" ht="15.4">
      <c r="A6" s="9">
        <v>5</v>
      </c>
      <c r="B6" s="18" t="s">
        <v>21</v>
      </c>
      <c r="C6" s="10" t="s">
        <v>45</v>
      </c>
      <c r="D6" s="23">
        <v>0.45</v>
      </c>
      <c r="E6" s="23">
        <v>0.4</v>
      </c>
      <c r="F6" s="23">
        <v>0.35</v>
      </c>
      <c r="G6" s="23">
        <v>0.75</v>
      </c>
      <c r="H6" s="23">
        <v>5.5</v>
      </c>
      <c r="I6" s="28">
        <v>5.3</v>
      </c>
      <c r="J6" s="29">
        <v>5.6</v>
      </c>
      <c r="K6" s="23" t="s">
        <v>74</v>
      </c>
    </row>
    <row r="7" spans="1:11" ht="15.4">
      <c r="A7" s="9">
        <v>7</v>
      </c>
      <c r="B7" s="18" t="s">
        <v>23</v>
      </c>
      <c r="C7" s="10" t="s">
        <v>49</v>
      </c>
      <c r="D7" s="23">
        <v>0.4</v>
      </c>
      <c r="E7" s="23">
        <v>0.4</v>
      </c>
      <c r="F7" s="23">
        <v>0.4</v>
      </c>
      <c r="G7" s="23">
        <v>1</v>
      </c>
      <c r="H7" s="23">
        <v>5.3</v>
      </c>
      <c r="I7" s="28">
        <v>5.4</v>
      </c>
      <c r="J7" s="29">
        <v>6.4</v>
      </c>
      <c r="K7" s="23" t="s">
        <v>74</v>
      </c>
    </row>
    <row r="8" spans="1:11" ht="15.4">
      <c r="A8" s="9">
        <v>8</v>
      </c>
      <c r="B8" s="18" t="s">
        <v>24</v>
      </c>
      <c r="C8" s="10" t="s">
        <v>51</v>
      </c>
      <c r="D8" s="23">
        <v>0.45</v>
      </c>
      <c r="E8" s="23">
        <v>0.4</v>
      </c>
      <c r="F8" s="23">
        <v>0.45</v>
      </c>
      <c r="G8" s="23">
        <v>0</v>
      </c>
      <c r="H8" s="23">
        <v>6.8</v>
      </c>
      <c r="I8" s="28">
        <v>5.4</v>
      </c>
      <c r="J8" s="29">
        <v>0</v>
      </c>
      <c r="K8" s="23" t="s">
        <v>71</v>
      </c>
    </row>
    <row r="9" spans="1:11" ht="15.4">
      <c r="A9" s="9">
        <v>9</v>
      </c>
      <c r="B9" s="18" t="s">
        <v>25</v>
      </c>
      <c r="C9" s="10" t="s">
        <v>53</v>
      </c>
      <c r="D9" s="23">
        <v>0.45</v>
      </c>
      <c r="E9" s="23">
        <v>0.4</v>
      </c>
      <c r="F9" s="23">
        <v>0.4</v>
      </c>
      <c r="G9" s="23">
        <v>0.75</v>
      </c>
      <c r="H9" s="23">
        <v>6.3</v>
      </c>
      <c r="I9" s="28">
        <v>5.8</v>
      </c>
      <c r="J9" s="29">
        <v>6.8</v>
      </c>
      <c r="K9" s="23" t="s">
        <v>75</v>
      </c>
    </row>
    <row r="10" spans="1:11" ht="15.4">
      <c r="A10" s="9">
        <v>11</v>
      </c>
      <c r="B10" s="18" t="s">
        <v>27</v>
      </c>
      <c r="C10" s="10" t="s">
        <v>57</v>
      </c>
      <c r="D10" s="23">
        <v>0.4</v>
      </c>
      <c r="E10" s="23">
        <v>0.45</v>
      </c>
      <c r="F10" s="23">
        <v>0.4</v>
      </c>
      <c r="G10" s="23">
        <v>0.3</v>
      </c>
      <c r="H10" s="23">
        <v>-3</v>
      </c>
      <c r="I10" s="28">
        <v>0</v>
      </c>
      <c r="J10" s="29">
        <v>0</v>
      </c>
      <c r="K10" s="23" t="s">
        <v>71</v>
      </c>
    </row>
    <row r="11" spans="1:11" ht="15.4">
      <c r="A11" s="9">
        <v>13</v>
      </c>
      <c r="B11" s="18" t="s">
        <v>29</v>
      </c>
      <c r="C11" s="10" t="s">
        <v>61</v>
      </c>
      <c r="D11" s="23">
        <v>0.4</v>
      </c>
      <c r="E11" s="23">
        <v>0.4</v>
      </c>
      <c r="F11" s="23">
        <v>0.35</v>
      </c>
      <c r="G11" s="23">
        <v>1.35</v>
      </c>
      <c r="H11" s="23">
        <v>-3</v>
      </c>
      <c r="I11" s="28">
        <v>0</v>
      </c>
      <c r="J11" s="29">
        <v>0</v>
      </c>
      <c r="K11" s="23" t="s">
        <v>71</v>
      </c>
    </row>
    <row r="12" spans="1:11" ht="15.4">
      <c r="A12" s="9">
        <v>14</v>
      </c>
      <c r="B12" s="18" t="s">
        <v>30</v>
      </c>
      <c r="C12" s="10" t="s">
        <v>67</v>
      </c>
      <c r="D12" s="23">
        <v>0.35</v>
      </c>
      <c r="E12" s="23">
        <v>0.4</v>
      </c>
      <c r="F12" s="23">
        <v>0</v>
      </c>
      <c r="G12" s="23">
        <v>0.85</v>
      </c>
      <c r="H12" s="23">
        <v>6.5</v>
      </c>
      <c r="I12" s="28">
        <v>5.5</v>
      </c>
      <c r="J12" s="29">
        <v>6.5</v>
      </c>
      <c r="K12" s="23" t="s">
        <v>75</v>
      </c>
    </row>
  </sheetData>
  <conditionalFormatting sqref="K2:K12">
    <cfRule type="cellIs" dxfId="1" priority="1" operator="lessThan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BBCC-17BB-4936-9D52-F380C808215C}">
  <dimension ref="A1:K4"/>
  <sheetViews>
    <sheetView workbookViewId="0">
      <selection activeCell="B3" sqref="B3"/>
    </sheetView>
  </sheetViews>
  <sheetFormatPr defaultRowHeight="14.25"/>
  <cols>
    <col min="1" max="1" width="6.6640625" bestFit="1" customWidth="1"/>
    <col min="3" max="3" width="31.6640625" bestFit="1" customWidth="1"/>
    <col min="10" max="10" width="19.6640625" customWidth="1"/>
  </cols>
  <sheetData>
    <row r="1" spans="1:11" ht="30">
      <c r="A1" s="22" t="s">
        <v>32</v>
      </c>
      <c r="B1" s="22" t="s">
        <v>10</v>
      </c>
      <c r="C1" s="22" t="s">
        <v>86</v>
      </c>
      <c r="D1" s="22" t="s">
        <v>88</v>
      </c>
      <c r="E1" s="22" t="s">
        <v>89</v>
      </c>
      <c r="F1" s="22" t="s">
        <v>90</v>
      </c>
      <c r="G1" s="22" t="s">
        <v>12</v>
      </c>
      <c r="H1" s="22" t="s">
        <v>13</v>
      </c>
      <c r="I1" s="22" t="s">
        <v>14</v>
      </c>
      <c r="J1" s="22" t="s">
        <v>15</v>
      </c>
      <c r="K1" s="22" t="s">
        <v>16</v>
      </c>
    </row>
    <row r="2" spans="1:11" ht="15.4">
      <c r="A2" s="9">
        <v>6</v>
      </c>
      <c r="B2" s="18" t="s">
        <v>22</v>
      </c>
      <c r="C2" s="10" t="str">
        <f>VLOOKUP(RIGHT(B2, 8), 'Các bảng tham chiếu &amp; Thống kê'!$B$14:$C$27, 2, 0)</f>
        <v>Phạm Thị Huỳnh</v>
      </c>
      <c r="D2" s="23">
        <f>VLOOKUP(RIGHT(B2, 8), 'Điểm thực hành các buổi'!$B$3:$F$16, 3, 0)</f>
        <v>0.4</v>
      </c>
      <c r="E2" s="23">
        <f>VLOOKUP(RIGHT(B2, 8), 'Điểm thực hành các buổi'!$B$3:$F$16, 4, 0)</f>
        <v>0.45</v>
      </c>
      <c r="F2" s="23">
        <f>VLOOKUP(RIGHT(B2, 8), 'Điểm thực hành các buổi'!$B$3:$F$16, 5, 0)</f>
        <v>0.5</v>
      </c>
      <c r="G2" s="23">
        <f>VLOOKUP(RIGHT(B2, 8), 'Điểm bài tập lớn'!$B$3:$D$16, 3, 0)</f>
        <v>1.2</v>
      </c>
      <c r="H2" s="23">
        <f>VLOOKUP(RIGHT(B2, 8), 'Điểm lý thuyết'!$B$3:$D$16, 3, 0)</f>
        <v>7.5</v>
      </c>
      <c r="I2" s="28">
        <f t="shared" ref="I2:I4" si="0">ROUND(IF(H2=-3, 0, D2+E2+F2+G2+0.6*H2), 1)</f>
        <v>7.1</v>
      </c>
      <c r="J2" s="29">
        <f>ROUND(IF(OR(G2=0, VALUE(LEFT(B2, 1))&gt;2), 0, I2 + VLOOKUP(VALUE(LEFT(B2, 1)), 'Các bảng tham chiếu &amp; Thống kê'!$E$3:$F$5, 2, 0)), 1)</f>
        <v>8.1</v>
      </c>
      <c r="K2" s="23" t="str">
        <f>VLOOKUP(J2, 'Các bảng tham chiếu &amp; Thống kê'!$A$3:$B$10, 2, 1)</f>
        <v>B+</v>
      </c>
    </row>
    <row r="3" spans="1:11" ht="15.4">
      <c r="A3" s="9">
        <v>10</v>
      </c>
      <c r="B3" s="18" t="s">
        <v>26</v>
      </c>
      <c r="C3" s="10" t="str">
        <f>VLOOKUP(RIGHT(B3, 8), 'Các bảng tham chiếu &amp; Thống kê'!$B$14:$C$27, 2, 0)</f>
        <v>Nguyễn Thị Đào</v>
      </c>
      <c r="D3" s="23">
        <f>VLOOKUP(RIGHT(B3, 8), 'Điểm thực hành các buổi'!$B$3:$F$16, 3, 0)</f>
        <v>0.3</v>
      </c>
      <c r="E3" s="23">
        <f>VLOOKUP(RIGHT(B3, 8), 'Điểm thực hành các buổi'!$B$3:$F$16, 4, 0)</f>
        <v>0.5</v>
      </c>
      <c r="F3" s="23">
        <f>VLOOKUP(RIGHT(B3, 8), 'Điểm thực hành các buổi'!$B$3:$F$16, 5, 0)</f>
        <v>0.45</v>
      </c>
      <c r="G3" s="23">
        <f>VLOOKUP(RIGHT(B3, 8), 'Điểm bài tập lớn'!$B$3:$D$16, 3, 0)</f>
        <v>0.3</v>
      </c>
      <c r="H3" s="23">
        <f>VLOOKUP(RIGHT(B3, 8), 'Điểm lý thuyết'!$B$3:$D$16, 3, 0)</f>
        <v>8.3000000000000007</v>
      </c>
      <c r="I3" s="28">
        <f t="shared" si="0"/>
        <v>6.5</v>
      </c>
      <c r="J3" s="29">
        <f>ROUND(IF(OR(G3=0, VALUE(LEFT(B3, 1))&gt;2), 0, I3 + VLOOKUP(VALUE(LEFT(B3, 1)), 'Các bảng tham chiếu &amp; Thống kê'!$E$3:$F$5, 2, 0)), 1)</f>
        <v>7</v>
      </c>
      <c r="K3" s="23" t="str">
        <f>VLOOKUP(J3, 'Các bảng tham chiếu &amp; Thống kê'!$A$3:$B$10, 2, 1)</f>
        <v>B</v>
      </c>
    </row>
    <row r="4" spans="1:11" ht="15.4">
      <c r="A4" s="9">
        <v>12</v>
      </c>
      <c r="B4" s="18" t="s">
        <v>28</v>
      </c>
      <c r="C4" s="10" t="str">
        <f>VLOOKUP(RIGHT(B4, 8), 'Các bảng tham chiếu &amp; Thống kê'!$B$14:$C$27, 2, 0)</f>
        <v>Nguyễn Hải Anh</v>
      </c>
      <c r="D4" s="23">
        <f>VLOOKUP(RIGHT(B4, 8), 'Điểm thực hành các buổi'!$B$3:$F$16, 3, 0)</f>
        <v>0.5</v>
      </c>
      <c r="E4" s="23">
        <f>VLOOKUP(RIGHT(B4, 8), 'Điểm thực hành các buổi'!$B$3:$F$16, 4, 0)</f>
        <v>0.5</v>
      </c>
      <c r="F4" s="23">
        <f>VLOOKUP(RIGHT(B4, 8), 'Điểm thực hành các buổi'!$B$3:$F$16, 5, 0)</f>
        <v>0.45</v>
      </c>
      <c r="G4" s="23">
        <f>VLOOKUP(RIGHT(B4, 8), 'Điểm bài tập lớn'!$B$3:$D$16, 3, 0)</f>
        <v>1.5</v>
      </c>
      <c r="H4" s="23">
        <f>VLOOKUP(RIGHT(B4, 8), 'Điểm lý thuyết'!$B$3:$D$16, 3, 0)</f>
        <v>7</v>
      </c>
      <c r="I4" s="28">
        <f t="shared" si="0"/>
        <v>7.2</v>
      </c>
      <c r="J4" s="29">
        <f>ROUND(IF(OR(G4=0, VALUE(LEFT(B4, 1))&gt;2), 0, I4 + VLOOKUP(VALUE(LEFT(B4, 1)), 'Các bảng tham chiếu &amp; Thống kê'!$E$3:$F$5, 2, 0)), 1)</f>
        <v>7.5</v>
      </c>
      <c r="K4" s="23" t="str">
        <f>VLOOKUP(J4, 'Các bảng tham chiếu &amp; Thống kê'!$A$3:$B$10, 2, 1)</f>
        <v>B</v>
      </c>
    </row>
  </sheetData>
  <conditionalFormatting sqref="K2:K4">
    <cfRule type="cellIs" dxfId="0" priority="1" operator="lessThan">
      <formula>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1AA5-AB44-4BCE-9DE0-55992AC30F8C}">
  <dimension ref="A1:F16"/>
  <sheetViews>
    <sheetView topLeftCell="A4" workbookViewId="0">
      <selection activeCell="F3" sqref="D3:F16"/>
    </sheetView>
  </sheetViews>
  <sheetFormatPr defaultRowHeight="14.25"/>
  <cols>
    <col min="1" max="1" width="7.6640625" bestFit="1" customWidth="1"/>
    <col min="2" max="2" width="16.1328125" customWidth="1"/>
    <col min="3" max="3" width="31.796875" customWidth="1"/>
    <col min="4" max="6" width="16.6640625" bestFit="1" customWidth="1"/>
  </cols>
  <sheetData>
    <row r="1" spans="1:6" ht="20.45" customHeight="1">
      <c r="A1" s="32" t="s">
        <v>31</v>
      </c>
      <c r="B1" s="33"/>
      <c r="C1" s="33"/>
      <c r="D1" s="33"/>
      <c r="E1" s="33"/>
      <c r="F1" s="33"/>
    </row>
    <row r="2" spans="1:6" ht="15.4">
      <c r="A2" s="24" t="s">
        <v>32</v>
      </c>
      <c r="B2" s="24" t="s">
        <v>10</v>
      </c>
      <c r="C2" s="24" t="s">
        <v>11</v>
      </c>
      <c r="D2" s="24" t="s">
        <v>33</v>
      </c>
      <c r="E2" s="25" t="s">
        <v>34</v>
      </c>
      <c r="F2" s="25" t="s">
        <v>35</v>
      </c>
    </row>
    <row r="3" spans="1:6" ht="15.4">
      <c r="A3" s="17">
        <v>1</v>
      </c>
      <c r="B3" s="17" t="s">
        <v>36</v>
      </c>
      <c r="C3" s="18" t="s">
        <v>37</v>
      </c>
      <c r="D3" s="17">
        <v>0.45</v>
      </c>
      <c r="E3" s="17">
        <v>0.25</v>
      </c>
      <c r="F3" s="17">
        <v>0.3</v>
      </c>
    </row>
    <row r="4" spans="1:6" ht="15.4">
      <c r="A4" s="17">
        <v>2</v>
      </c>
      <c r="B4" s="17" t="s">
        <v>38</v>
      </c>
      <c r="C4" s="18" t="s">
        <v>39</v>
      </c>
      <c r="D4" s="17">
        <v>0.5</v>
      </c>
      <c r="E4" s="17">
        <v>0.35</v>
      </c>
      <c r="F4" s="17">
        <v>0.4</v>
      </c>
    </row>
    <row r="5" spans="1:6" ht="15.4">
      <c r="A5" s="17">
        <v>3</v>
      </c>
      <c r="B5" s="17" t="s">
        <v>40</v>
      </c>
      <c r="C5" s="18" t="s">
        <v>41</v>
      </c>
      <c r="D5" s="17">
        <v>0.25</v>
      </c>
      <c r="E5" s="17">
        <v>0.25</v>
      </c>
      <c r="F5" s="17">
        <v>0.3</v>
      </c>
    </row>
    <row r="6" spans="1:6" ht="15.4">
      <c r="A6" s="17">
        <v>4</v>
      </c>
      <c r="B6" s="17" t="s">
        <v>42</v>
      </c>
      <c r="C6" s="18" t="s">
        <v>43</v>
      </c>
      <c r="D6" s="17">
        <v>0.4</v>
      </c>
      <c r="E6" s="17">
        <v>0.25</v>
      </c>
      <c r="F6" s="17">
        <v>0.35</v>
      </c>
    </row>
    <row r="7" spans="1:6" ht="15.4">
      <c r="A7" s="17">
        <v>5</v>
      </c>
      <c r="B7" s="17" t="s">
        <v>44</v>
      </c>
      <c r="C7" s="18" t="s">
        <v>45</v>
      </c>
      <c r="D7" s="17">
        <v>0.45</v>
      </c>
      <c r="E7" s="17">
        <v>0.4</v>
      </c>
      <c r="F7" s="17">
        <v>0.35</v>
      </c>
    </row>
    <row r="8" spans="1:6" ht="15.4">
      <c r="A8" s="17">
        <v>6</v>
      </c>
      <c r="B8" s="17" t="s">
        <v>46</v>
      </c>
      <c r="C8" s="18" t="s">
        <v>47</v>
      </c>
      <c r="D8" s="17">
        <v>0.4</v>
      </c>
      <c r="E8" s="17">
        <v>0.45</v>
      </c>
      <c r="F8" s="17">
        <v>0.5</v>
      </c>
    </row>
    <row r="9" spans="1:6" ht="15.4">
      <c r="A9" s="17">
        <v>7</v>
      </c>
      <c r="B9" s="17" t="s">
        <v>48</v>
      </c>
      <c r="C9" s="18" t="s">
        <v>49</v>
      </c>
      <c r="D9" s="17">
        <v>0.4</v>
      </c>
      <c r="E9" s="17">
        <v>0.4</v>
      </c>
      <c r="F9" s="17">
        <v>0.4</v>
      </c>
    </row>
    <row r="10" spans="1:6" ht="15.4">
      <c r="A10" s="17">
        <v>8</v>
      </c>
      <c r="B10" s="17" t="s">
        <v>50</v>
      </c>
      <c r="C10" s="18" t="s">
        <v>51</v>
      </c>
      <c r="D10" s="17">
        <v>0.45</v>
      </c>
      <c r="E10" s="17">
        <v>0.4</v>
      </c>
      <c r="F10" s="17">
        <v>0.45</v>
      </c>
    </row>
    <row r="11" spans="1:6" ht="15.4">
      <c r="A11" s="17">
        <v>9</v>
      </c>
      <c r="B11" s="17" t="s">
        <v>52</v>
      </c>
      <c r="C11" s="18" t="s">
        <v>53</v>
      </c>
      <c r="D11" s="17">
        <v>0.45</v>
      </c>
      <c r="E11" s="17">
        <v>0.4</v>
      </c>
      <c r="F11" s="17">
        <v>0.4</v>
      </c>
    </row>
    <row r="12" spans="1:6" ht="15.4">
      <c r="A12" s="17">
        <v>10</v>
      </c>
      <c r="B12" s="17" t="s">
        <v>54</v>
      </c>
      <c r="C12" s="18" t="s">
        <v>55</v>
      </c>
      <c r="D12" s="17">
        <v>0.3</v>
      </c>
      <c r="E12" s="17">
        <v>0.5</v>
      </c>
      <c r="F12" s="17">
        <v>0.45</v>
      </c>
    </row>
    <row r="13" spans="1:6" ht="15.4">
      <c r="A13" s="17">
        <v>11</v>
      </c>
      <c r="B13" s="17" t="s">
        <v>56</v>
      </c>
      <c r="C13" s="18" t="s">
        <v>57</v>
      </c>
      <c r="D13" s="17">
        <v>0.4</v>
      </c>
      <c r="E13" s="17">
        <v>0.45</v>
      </c>
      <c r="F13" s="17">
        <v>0.4</v>
      </c>
    </row>
    <row r="14" spans="1:6" ht="15.4">
      <c r="A14" s="17">
        <v>12</v>
      </c>
      <c r="B14" s="17" t="s">
        <v>58</v>
      </c>
      <c r="C14" s="18" t="s">
        <v>59</v>
      </c>
      <c r="D14" s="17">
        <v>0.5</v>
      </c>
      <c r="E14" s="17">
        <v>0.5</v>
      </c>
      <c r="F14" s="17">
        <v>0.45</v>
      </c>
    </row>
    <row r="15" spans="1:6" ht="15.4">
      <c r="A15" s="17">
        <v>13</v>
      </c>
      <c r="B15" s="17" t="s">
        <v>60</v>
      </c>
      <c r="C15" s="18" t="s">
        <v>61</v>
      </c>
      <c r="D15" s="17">
        <v>0.4</v>
      </c>
      <c r="E15" s="17">
        <v>0.4</v>
      </c>
      <c r="F15" s="17">
        <v>0.35</v>
      </c>
    </row>
    <row r="16" spans="1:6" ht="16.8" customHeight="1">
      <c r="A16" s="17">
        <v>14</v>
      </c>
      <c r="B16" s="17" t="s">
        <v>62</v>
      </c>
      <c r="C16" s="18" t="s">
        <v>63</v>
      </c>
      <c r="D16" s="17">
        <v>0.35</v>
      </c>
      <c r="E16" s="17">
        <v>0.4</v>
      </c>
      <c r="F16" s="17">
        <v>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4712-E48B-464E-BD1D-DEA66A7BBD37}">
  <dimension ref="A1:D16"/>
  <sheetViews>
    <sheetView workbookViewId="0">
      <selection activeCell="D10" sqref="D10"/>
    </sheetView>
  </sheetViews>
  <sheetFormatPr defaultRowHeight="14.25"/>
  <cols>
    <col min="1" max="1" width="6" bestFit="1" customWidth="1"/>
    <col min="2" max="2" width="15.1328125" customWidth="1"/>
    <col min="3" max="3" width="35.1328125" customWidth="1"/>
    <col min="4" max="4" width="19.1328125" bestFit="1" customWidth="1"/>
  </cols>
  <sheetData>
    <row r="1" spans="1:4" ht="20.45" customHeight="1">
      <c r="A1" s="34" t="s">
        <v>64</v>
      </c>
      <c r="B1" s="35"/>
      <c r="C1" s="35"/>
      <c r="D1" s="36"/>
    </row>
    <row r="2" spans="1:4" ht="15.4">
      <c r="A2" s="24" t="s">
        <v>32</v>
      </c>
      <c r="B2" s="24" t="s">
        <v>10</v>
      </c>
      <c r="C2" s="24" t="s">
        <v>11</v>
      </c>
      <c r="D2" s="24" t="s">
        <v>12</v>
      </c>
    </row>
    <row r="3" spans="1:4" ht="15.4">
      <c r="A3" s="17">
        <v>1</v>
      </c>
      <c r="B3" s="17" t="s">
        <v>36</v>
      </c>
      <c r="C3" s="18" t="s">
        <v>37</v>
      </c>
      <c r="D3" s="17">
        <v>0.5</v>
      </c>
    </row>
    <row r="4" spans="1:4" ht="15.4">
      <c r="A4" s="17">
        <v>2</v>
      </c>
      <c r="B4" s="17" t="s">
        <v>38</v>
      </c>
      <c r="C4" s="18" t="s">
        <v>39</v>
      </c>
      <c r="D4" s="17">
        <v>1</v>
      </c>
    </row>
    <row r="5" spans="1:4" ht="15.4">
      <c r="A5" s="17">
        <v>3</v>
      </c>
      <c r="B5" s="17" t="s">
        <v>40</v>
      </c>
      <c r="C5" s="18" t="s">
        <v>41</v>
      </c>
      <c r="D5" s="17">
        <v>0.5</v>
      </c>
    </row>
    <row r="6" spans="1:4" ht="15.4">
      <c r="A6" s="17">
        <v>4</v>
      </c>
      <c r="B6" s="17" t="s">
        <v>42</v>
      </c>
      <c r="C6" s="18" t="s">
        <v>43</v>
      </c>
      <c r="D6" s="17">
        <v>1</v>
      </c>
    </row>
    <row r="7" spans="1:4" ht="15.4">
      <c r="A7" s="17">
        <v>5</v>
      </c>
      <c r="B7" s="17" t="s">
        <v>44</v>
      </c>
      <c r="C7" s="18" t="s">
        <v>45</v>
      </c>
      <c r="D7" s="17">
        <v>0.75</v>
      </c>
    </row>
    <row r="8" spans="1:4" ht="15.4">
      <c r="A8" s="17">
        <v>6</v>
      </c>
      <c r="B8" s="17" t="s">
        <v>46</v>
      </c>
      <c r="C8" s="18" t="s">
        <v>47</v>
      </c>
      <c r="D8" s="17">
        <v>1.2</v>
      </c>
    </row>
    <row r="9" spans="1:4" ht="15.4">
      <c r="A9" s="17">
        <v>7</v>
      </c>
      <c r="B9" s="17" t="s">
        <v>48</v>
      </c>
      <c r="C9" s="18" t="s">
        <v>49</v>
      </c>
      <c r="D9" s="17">
        <v>1</v>
      </c>
    </row>
    <row r="10" spans="1:4" ht="15.4">
      <c r="A10" s="17">
        <v>8</v>
      </c>
      <c r="B10" s="17" t="s">
        <v>50</v>
      </c>
      <c r="C10" s="18" t="s">
        <v>51</v>
      </c>
      <c r="D10" s="17">
        <v>0</v>
      </c>
    </row>
    <row r="11" spans="1:4" ht="15.4">
      <c r="A11" s="17">
        <v>9</v>
      </c>
      <c r="B11" s="17" t="s">
        <v>52</v>
      </c>
      <c r="C11" s="18" t="s">
        <v>53</v>
      </c>
      <c r="D11" s="17">
        <v>0.75</v>
      </c>
    </row>
    <row r="12" spans="1:4" ht="15.4">
      <c r="A12" s="17">
        <v>10</v>
      </c>
      <c r="B12" s="17" t="s">
        <v>54</v>
      </c>
      <c r="C12" s="18" t="s">
        <v>55</v>
      </c>
      <c r="D12" s="17">
        <v>0.3</v>
      </c>
    </row>
    <row r="13" spans="1:4" ht="15.4">
      <c r="A13" s="17">
        <v>11</v>
      </c>
      <c r="B13" s="17" t="s">
        <v>56</v>
      </c>
      <c r="C13" s="18" t="s">
        <v>57</v>
      </c>
      <c r="D13" s="17">
        <v>0.3</v>
      </c>
    </row>
    <row r="14" spans="1:4" ht="15.4">
      <c r="A14" s="17">
        <v>12</v>
      </c>
      <c r="B14" s="17" t="s">
        <v>58</v>
      </c>
      <c r="C14" s="18" t="s">
        <v>59</v>
      </c>
      <c r="D14" s="17">
        <v>1.5</v>
      </c>
    </row>
    <row r="15" spans="1:4" ht="15.4">
      <c r="A15" s="17">
        <v>13</v>
      </c>
      <c r="B15" s="17" t="s">
        <v>60</v>
      </c>
      <c r="C15" s="18" t="s">
        <v>61</v>
      </c>
      <c r="D15" s="17">
        <v>1.35</v>
      </c>
    </row>
    <row r="16" spans="1:4" ht="16.8" customHeight="1">
      <c r="A16" s="17">
        <v>14</v>
      </c>
      <c r="B16" s="17" t="s">
        <v>62</v>
      </c>
      <c r="C16" s="18" t="s">
        <v>67</v>
      </c>
      <c r="D16" s="17">
        <v>0.85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B32F-6D51-4890-A3C9-B981FA3C746F}">
  <dimension ref="A1:D16"/>
  <sheetViews>
    <sheetView workbookViewId="0">
      <selection activeCell="D13" sqref="D13"/>
    </sheetView>
  </sheetViews>
  <sheetFormatPr defaultRowHeight="14.25"/>
  <cols>
    <col min="1" max="1" width="7.6640625" bestFit="1" customWidth="1"/>
    <col min="2" max="2" width="14" bestFit="1" customWidth="1"/>
    <col min="3" max="3" width="32.33203125" customWidth="1"/>
    <col min="4" max="4" width="21.33203125" bestFit="1" customWidth="1"/>
  </cols>
  <sheetData>
    <row r="1" spans="1:4" ht="20.45" customHeight="1">
      <c r="A1" s="37" t="s">
        <v>65</v>
      </c>
      <c r="B1" s="35"/>
      <c r="C1" s="35"/>
      <c r="D1" s="36"/>
    </row>
    <row r="2" spans="1:4" ht="15.4">
      <c r="A2" s="26" t="s">
        <v>32</v>
      </c>
      <c r="B2" s="26" t="s">
        <v>10</v>
      </c>
      <c r="C2" s="26" t="s">
        <v>11</v>
      </c>
      <c r="D2" s="27" t="s">
        <v>65</v>
      </c>
    </row>
    <row r="3" spans="1:4" ht="15.4">
      <c r="A3" s="17">
        <v>1</v>
      </c>
      <c r="B3" s="17" t="s">
        <v>36</v>
      </c>
      <c r="C3" s="18" t="s">
        <v>37</v>
      </c>
      <c r="D3" s="17">
        <v>4.2</v>
      </c>
    </row>
    <row r="4" spans="1:4" ht="15.4">
      <c r="A4" s="17">
        <v>2</v>
      </c>
      <c r="B4" s="17" t="s">
        <v>38</v>
      </c>
      <c r="C4" s="18" t="s">
        <v>39</v>
      </c>
      <c r="D4" s="17">
        <v>5.8</v>
      </c>
    </row>
    <row r="5" spans="1:4" ht="15.4">
      <c r="A5" s="17">
        <v>3</v>
      </c>
      <c r="B5" s="17" t="s">
        <v>40</v>
      </c>
      <c r="C5" s="18" t="s">
        <v>41</v>
      </c>
      <c r="D5" s="17">
        <v>5.8</v>
      </c>
    </row>
    <row r="6" spans="1:4" ht="15.4">
      <c r="A6" s="17">
        <v>4</v>
      </c>
      <c r="B6" s="17" t="s">
        <v>42</v>
      </c>
      <c r="C6" s="18" t="s">
        <v>43</v>
      </c>
      <c r="D6" s="17">
        <v>4.5</v>
      </c>
    </row>
    <row r="7" spans="1:4" ht="15.4">
      <c r="A7" s="17">
        <v>5</v>
      </c>
      <c r="B7" s="17" t="s">
        <v>44</v>
      </c>
      <c r="C7" s="18" t="s">
        <v>45</v>
      </c>
      <c r="D7" s="17">
        <v>5.5</v>
      </c>
    </row>
    <row r="8" spans="1:4" ht="15.4">
      <c r="A8" s="17">
        <v>6</v>
      </c>
      <c r="B8" s="17" t="s">
        <v>46</v>
      </c>
      <c r="C8" s="18" t="s">
        <v>47</v>
      </c>
      <c r="D8" s="17">
        <v>7.5</v>
      </c>
    </row>
    <row r="9" spans="1:4" ht="15.4">
      <c r="A9" s="17">
        <v>7</v>
      </c>
      <c r="B9" s="17" t="s">
        <v>48</v>
      </c>
      <c r="C9" s="18" t="s">
        <v>49</v>
      </c>
      <c r="D9" s="17">
        <v>5.3</v>
      </c>
    </row>
    <row r="10" spans="1:4" ht="15.4">
      <c r="A10" s="17">
        <v>8</v>
      </c>
      <c r="B10" s="17" t="s">
        <v>50</v>
      </c>
      <c r="C10" s="18" t="s">
        <v>51</v>
      </c>
      <c r="D10" s="17">
        <v>6.8</v>
      </c>
    </row>
    <row r="11" spans="1:4" ht="15.4">
      <c r="A11" s="17">
        <v>9</v>
      </c>
      <c r="B11" s="17" t="s">
        <v>52</v>
      </c>
      <c r="C11" s="18" t="s">
        <v>53</v>
      </c>
      <c r="D11" s="17">
        <v>6.3</v>
      </c>
    </row>
    <row r="12" spans="1:4" ht="15.4">
      <c r="A12" s="17">
        <v>10</v>
      </c>
      <c r="B12" s="17" t="s">
        <v>54</v>
      </c>
      <c r="C12" s="18" t="s">
        <v>55</v>
      </c>
      <c r="D12" s="17">
        <v>8.3000000000000007</v>
      </c>
    </row>
    <row r="13" spans="1:4" ht="15.4">
      <c r="A13" s="17">
        <v>11</v>
      </c>
      <c r="B13" s="17" t="s">
        <v>56</v>
      </c>
      <c r="C13" s="18" t="s">
        <v>57</v>
      </c>
      <c r="D13" s="17">
        <v>-3</v>
      </c>
    </row>
    <row r="14" spans="1:4" ht="15.4">
      <c r="A14" s="17">
        <v>12</v>
      </c>
      <c r="B14" s="17" t="s">
        <v>58</v>
      </c>
      <c r="C14" s="18" t="s">
        <v>66</v>
      </c>
      <c r="D14" s="17">
        <v>7</v>
      </c>
    </row>
    <row r="15" spans="1:4" ht="15.4">
      <c r="A15" s="17">
        <v>13</v>
      </c>
      <c r="B15" s="17" t="s">
        <v>60</v>
      </c>
      <c r="C15" s="18" t="s">
        <v>61</v>
      </c>
      <c r="D15" s="17">
        <v>-3</v>
      </c>
    </row>
    <row r="16" spans="1:4" ht="16.8" customHeight="1">
      <c r="A16" s="17">
        <v>14</v>
      </c>
      <c r="B16" s="17" t="s">
        <v>62</v>
      </c>
      <c r="C16" s="18" t="s">
        <v>67</v>
      </c>
      <c r="D16" s="17">
        <v>6.5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12B0-2428-4747-8EE9-45610297526C}">
  <dimension ref="A1:F28"/>
  <sheetViews>
    <sheetView tabSelected="1" topLeftCell="B1" workbookViewId="0">
      <selection activeCell="G15" sqref="G15"/>
    </sheetView>
  </sheetViews>
  <sheetFormatPr defaultRowHeight="14.25"/>
  <cols>
    <col min="1" max="1" width="18.796875" customWidth="1"/>
    <col min="2" max="2" width="16.33203125" customWidth="1"/>
    <col min="3" max="3" width="34.796875" customWidth="1"/>
    <col min="4" max="4" width="6.33203125" customWidth="1"/>
    <col min="5" max="5" width="27" customWidth="1"/>
    <col min="6" max="6" width="38.1328125" customWidth="1"/>
  </cols>
  <sheetData>
    <row r="1" spans="1:6" ht="19.899999999999999">
      <c r="A1" s="41" t="s">
        <v>68</v>
      </c>
      <c r="B1" s="41"/>
      <c r="C1" s="41"/>
      <c r="D1" s="1"/>
      <c r="E1" s="42" t="s">
        <v>83</v>
      </c>
      <c r="F1" s="42"/>
    </row>
    <row r="2" spans="1:6" ht="30">
      <c r="A2" s="2" t="s">
        <v>15</v>
      </c>
      <c r="B2" s="2" t="s">
        <v>16</v>
      </c>
      <c r="C2" s="2" t="s">
        <v>69</v>
      </c>
      <c r="D2" s="1"/>
      <c r="E2" s="3" t="s">
        <v>84</v>
      </c>
      <c r="F2" s="3" t="s">
        <v>70</v>
      </c>
    </row>
    <row r="3" spans="1:6" ht="15.4">
      <c r="A3" s="4">
        <v>0</v>
      </c>
      <c r="B3" s="5" t="s">
        <v>71</v>
      </c>
      <c r="C3" s="5">
        <v>0</v>
      </c>
      <c r="D3" s="1"/>
      <c r="E3" s="6">
        <v>0</v>
      </c>
      <c r="F3" s="7">
        <v>1</v>
      </c>
    </row>
    <row r="4" spans="1:6" ht="15.4">
      <c r="A4" s="4">
        <v>4</v>
      </c>
      <c r="B4" s="5" t="s">
        <v>72</v>
      </c>
      <c r="C4" s="5">
        <v>1</v>
      </c>
      <c r="D4" s="1"/>
      <c r="E4" s="6">
        <v>1</v>
      </c>
      <c r="F4" s="7">
        <v>0.5</v>
      </c>
    </row>
    <row r="5" spans="1:6" ht="15.4">
      <c r="A5" s="4">
        <v>5</v>
      </c>
      <c r="B5" s="5" t="s">
        <v>73</v>
      </c>
      <c r="C5" s="5">
        <v>1.5</v>
      </c>
      <c r="D5" s="1"/>
      <c r="E5" s="6">
        <v>2</v>
      </c>
      <c r="F5" s="7">
        <v>0.25</v>
      </c>
    </row>
    <row r="6" spans="1:6" ht="15.4">
      <c r="A6" s="4">
        <v>5.5</v>
      </c>
      <c r="B6" s="5" t="s">
        <v>74</v>
      </c>
      <c r="C6" s="5">
        <v>2</v>
      </c>
      <c r="D6" s="1"/>
      <c r="E6" s="1"/>
      <c r="F6" s="1"/>
    </row>
    <row r="7" spans="1:6" ht="15.4">
      <c r="A7" s="4">
        <v>6.5</v>
      </c>
      <c r="B7" s="5" t="s">
        <v>75</v>
      </c>
      <c r="C7" s="5">
        <v>2.5</v>
      </c>
      <c r="D7" s="1"/>
      <c r="E7" s="1"/>
      <c r="F7" s="1"/>
    </row>
    <row r="8" spans="1:6" ht="15.4">
      <c r="A8" s="4">
        <v>7</v>
      </c>
      <c r="B8" s="5" t="s">
        <v>76</v>
      </c>
      <c r="C8" s="5">
        <v>3</v>
      </c>
      <c r="D8" s="1"/>
      <c r="E8" s="1"/>
      <c r="F8" s="1"/>
    </row>
    <row r="9" spans="1:6" ht="15.4">
      <c r="A9" s="4">
        <v>8</v>
      </c>
      <c r="B9" s="5" t="s">
        <v>77</v>
      </c>
      <c r="C9" s="5">
        <v>3.5</v>
      </c>
      <c r="D9" s="1"/>
      <c r="E9" s="1"/>
      <c r="F9" s="1"/>
    </row>
    <row r="10" spans="1:6" ht="15.4">
      <c r="A10" s="4">
        <v>9</v>
      </c>
      <c r="B10" s="5" t="s">
        <v>78</v>
      </c>
      <c r="C10" s="5">
        <v>4</v>
      </c>
      <c r="D10" s="1"/>
      <c r="E10" s="1"/>
      <c r="F10" s="1"/>
    </row>
    <row r="11" spans="1:6" ht="15.4">
      <c r="A11" s="8"/>
      <c r="B11" s="8"/>
      <c r="C11" s="8"/>
      <c r="D11" s="1"/>
      <c r="E11" s="1"/>
      <c r="F11" s="1"/>
    </row>
    <row r="12" spans="1:6" ht="19.899999999999999">
      <c r="A12" s="43" t="s">
        <v>85</v>
      </c>
      <c r="B12" s="43"/>
      <c r="C12" s="43"/>
      <c r="D12" s="1"/>
      <c r="E12" s="44" t="s">
        <v>79</v>
      </c>
      <c r="F12" s="45"/>
    </row>
    <row r="13" spans="1:6" ht="15.4">
      <c r="A13" s="2" t="s">
        <v>32</v>
      </c>
      <c r="B13" s="2" t="s">
        <v>10</v>
      </c>
      <c r="C13" s="2" t="s">
        <v>86</v>
      </c>
      <c r="D13" s="1"/>
      <c r="E13" s="2" t="s">
        <v>16</v>
      </c>
      <c r="F13" s="2" t="s">
        <v>80</v>
      </c>
    </row>
    <row r="14" spans="1:6" ht="15.4">
      <c r="A14" s="9">
        <v>1</v>
      </c>
      <c r="B14" s="17" t="s">
        <v>42</v>
      </c>
      <c r="C14" s="18" t="s">
        <v>43</v>
      </c>
      <c r="D14" s="1"/>
      <c r="E14" s="11" t="s">
        <v>78</v>
      </c>
      <c r="F14" s="47">
        <f>COUNTIF('Tổng hợp điểm'!$K$7:$K$20, E14)</f>
        <v>0</v>
      </c>
    </row>
    <row r="15" spans="1:6" ht="15.4">
      <c r="A15" s="9">
        <v>2</v>
      </c>
      <c r="B15" s="17" t="s">
        <v>50</v>
      </c>
      <c r="C15" s="18" t="s">
        <v>51</v>
      </c>
      <c r="D15" s="1"/>
      <c r="E15" s="11" t="s">
        <v>77</v>
      </c>
      <c r="F15" s="47">
        <f>COUNTIF('Tổng hợp điểm'!$K$7:$K$20, E15)</f>
        <v>1</v>
      </c>
    </row>
    <row r="16" spans="1:6" ht="15.4">
      <c r="A16" s="9">
        <v>3</v>
      </c>
      <c r="B16" s="17" t="s">
        <v>52</v>
      </c>
      <c r="C16" s="18" t="s">
        <v>53</v>
      </c>
      <c r="D16" s="1"/>
      <c r="E16" s="11" t="s">
        <v>76</v>
      </c>
      <c r="F16" s="47">
        <f>COUNTIF('Tổng hợp điểm'!$K$7:$K$20, E16)</f>
        <v>2</v>
      </c>
    </row>
    <row r="17" spans="1:6" ht="15.4">
      <c r="A17" s="9">
        <v>4</v>
      </c>
      <c r="B17" s="17" t="s">
        <v>48</v>
      </c>
      <c r="C17" s="18" t="s">
        <v>49</v>
      </c>
      <c r="D17" s="1"/>
      <c r="E17" s="11" t="s">
        <v>75</v>
      </c>
      <c r="F17" s="47">
        <f>COUNTIF('Tổng hợp điểm'!$K$7:$K$20, E17)</f>
        <v>2</v>
      </c>
    </row>
    <row r="18" spans="1:6" ht="15.4">
      <c r="A18" s="9">
        <v>5</v>
      </c>
      <c r="B18" s="17" t="s">
        <v>44</v>
      </c>
      <c r="C18" s="18" t="s">
        <v>45</v>
      </c>
      <c r="D18" s="1"/>
      <c r="E18" s="11" t="s">
        <v>74</v>
      </c>
      <c r="F18" s="47">
        <f>COUNTIF('Tổng hợp điểm'!$K$7:$K$20, E18)</f>
        <v>5</v>
      </c>
    </row>
    <row r="19" spans="1:6" ht="15.4">
      <c r="A19" s="9">
        <v>6</v>
      </c>
      <c r="B19" s="17" t="s">
        <v>38</v>
      </c>
      <c r="C19" s="18" t="s">
        <v>39</v>
      </c>
      <c r="D19" s="1"/>
      <c r="E19" s="11" t="s">
        <v>73</v>
      </c>
      <c r="F19" s="47">
        <f>COUNTIF('Tổng hợp điểm'!$K$7:$K$20, E19)</f>
        <v>1</v>
      </c>
    </row>
    <row r="20" spans="1:6" ht="15.4">
      <c r="A20" s="9">
        <v>7</v>
      </c>
      <c r="B20" s="17" t="s">
        <v>56</v>
      </c>
      <c r="C20" s="18" t="s">
        <v>57</v>
      </c>
      <c r="D20" s="1"/>
      <c r="E20" s="11" t="s">
        <v>72</v>
      </c>
      <c r="F20" s="47">
        <f>COUNTIF('Tổng hợp điểm'!$K$7:$K$20, E20)</f>
        <v>0</v>
      </c>
    </row>
    <row r="21" spans="1:6" ht="15.4">
      <c r="A21" s="9">
        <v>8</v>
      </c>
      <c r="B21" s="17" t="s">
        <v>62</v>
      </c>
      <c r="C21" s="18" t="s">
        <v>67</v>
      </c>
      <c r="D21" s="1"/>
      <c r="E21" s="11" t="s">
        <v>71</v>
      </c>
      <c r="F21" s="47">
        <f>COUNTIF('Tổng hợp điểm'!$K$7:$K$20, E21)</f>
        <v>3</v>
      </c>
    </row>
    <row r="22" spans="1:6" ht="15.4">
      <c r="A22" s="9">
        <v>9</v>
      </c>
      <c r="B22" s="17" t="s">
        <v>58</v>
      </c>
      <c r="C22" s="18" t="s">
        <v>66</v>
      </c>
      <c r="D22" s="1"/>
      <c r="E22" s="12"/>
      <c r="F22" s="13"/>
    </row>
    <row r="23" spans="1:6" ht="17.25">
      <c r="A23" s="9">
        <v>10</v>
      </c>
      <c r="B23" s="17" t="s">
        <v>40</v>
      </c>
      <c r="C23" s="19" t="s">
        <v>41</v>
      </c>
      <c r="D23" s="1"/>
      <c r="E23" s="46" t="s">
        <v>81</v>
      </c>
      <c r="F23" s="46"/>
    </row>
    <row r="24" spans="1:6" ht="15.4">
      <c r="A24" s="9">
        <v>11</v>
      </c>
      <c r="B24" s="17" t="s">
        <v>54</v>
      </c>
      <c r="C24" s="18" t="s">
        <v>55</v>
      </c>
      <c r="D24" s="1"/>
      <c r="E24" s="38" t="s">
        <v>87</v>
      </c>
      <c r="F24" s="40">
        <f>COUNTIF('Tổng hợp điểm'!$G$7:$G$20, 0) + COUNTIF('Tổng hợp điểm'!$H$7:$H$20, -3)</f>
        <v>3</v>
      </c>
    </row>
    <row r="25" spans="1:6" ht="15.4">
      <c r="A25" s="9">
        <v>12</v>
      </c>
      <c r="B25" s="17" t="s">
        <v>36</v>
      </c>
      <c r="C25" s="18" t="s">
        <v>37</v>
      </c>
      <c r="D25" s="1"/>
      <c r="E25" s="38"/>
      <c r="F25" s="40"/>
    </row>
    <row r="26" spans="1:6" ht="15.4">
      <c r="A26" s="9">
        <v>13</v>
      </c>
      <c r="B26" s="17" t="s">
        <v>46</v>
      </c>
      <c r="C26" s="18" t="s">
        <v>47</v>
      </c>
      <c r="D26" s="1"/>
      <c r="E26" s="39"/>
      <c r="F26" s="40"/>
    </row>
    <row r="27" spans="1:6" ht="15.4">
      <c r="A27" s="9">
        <v>14</v>
      </c>
      <c r="B27" s="17" t="s">
        <v>60</v>
      </c>
      <c r="C27" s="18" t="s">
        <v>61</v>
      </c>
      <c r="E27" s="16" t="s">
        <v>82</v>
      </c>
      <c r="F27" s="15">
        <f>COUNTIFS('Tổng hợp điểm'!$J$7:$J$20, "&gt;=7", 'Tổng hợp điểm'!$K$7:$K$20, "A") + COUNTIFS('Tổng hợp điểm'!$J$7:$J$20, "&gt;=7", 'Tổng hợp điểm'!$K$7:$K$20, "B+")</f>
        <v>1</v>
      </c>
    </row>
    <row r="28" spans="1:6">
      <c r="E28" s="14"/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honeticPr fontId="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Sinh viên điểm &lt;7</vt:lpstr>
      <vt:lpstr>Sinh viên có điểm &gt;=7</vt:lpstr>
      <vt:lpstr>Điểm thực hành các buổi</vt:lpstr>
      <vt:lpstr>Điểm bài tập lớn</vt:lpstr>
      <vt:lpstr>Điểm lý thuyết</vt:lpstr>
      <vt:lpstr>Các bảng tham chiếu &amp; Thống kê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DUY</dc:creator>
  <cp:lastModifiedBy>kha minh</cp:lastModifiedBy>
  <dcterms:created xsi:type="dcterms:W3CDTF">2026-02-02T15:28:36Z</dcterms:created>
  <dcterms:modified xsi:type="dcterms:W3CDTF">2026-02-03T12:00:18Z</dcterms:modified>
</cp:coreProperties>
</file>